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klog MVP" sheetId="1" state="visible" r:id="rId2"/>
    <sheet name="Resumen" sheetId="2" state="visible" r:id="rId3"/>
  </sheets>
  <definedNames>
    <definedName function="false" hidden="true" localSheetId="0" name="_xlnm._FilterDatabase" vbProcedure="false">'Backlog MVP'!$A$4:$I$18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<sst xmlns="http://schemas.openxmlformats.org/spreadsheetml/2006/main" count="121" uniqueCount="90">
  <si>
    <t xml:space="preserve">Backlog del MVP - Seleccion Renaser (MOTOR + PORTAL)</t>
  </si>
  <si>
    <t xml:space="preserve">Verificado contra el codigo el 21/08/2026. Ventana al 30/08: 5 dias habiles (lun 24 - vie 28).</t>
  </si>
  <si>
    <t xml:space="preserve">#</t>
  </si>
  <si>
    <t xml:space="preserve">Repo</t>
  </si>
  <si>
    <t xml:space="preserve">Que falta</t>
  </si>
  <si>
    <t xml:space="preserve">Detalle</t>
  </si>
  <si>
    <t xml:space="preserve">Por que importa</t>
  </si>
  <si>
    <t xml:space="preserve">Cabe antes del 30</t>
  </si>
  <si>
    <t xml:space="preserve">Donde esta la evidencia</t>
  </si>
  <si>
    <t xml:space="preserve">Responsable</t>
  </si>
  <si>
    <t xml:space="preserve">Estado</t>
  </si>
  <si>
    <t xml:space="preserve">MOTOR</t>
  </si>
  <si>
    <t xml:space="preserve">Ranking completo por vacante</t>
  </si>
  <si>
    <t xml:space="preserve">Exponer las 4 notas de etapa (PERFIL_INTEGRAL, PRUEBA_PUESTO, SIMULACION, VALIDACION) + Puntuacion Global + semaforo en la misma fila. Hoy GET /vacantes/{id}/ranking solo lleva Perfil Integral.</t>
  </si>
  <si>
    <t xml:space="preserve">Sin esto no se pueden comparar candidatos despues de la etapa 2, que es medio sistema.</t>
  </si>
  <si>
    <t xml:space="preserve">Si</t>
  </si>
  <si>
    <t xml:space="preserve">DtosPerfilIntegral.java:128 (FilaRanking); las 4 etapas ya escriben nota_etapa</t>
  </si>
  <si>
    <t xml:space="preserve">Resultados del proceso</t>
  </si>
  <si>
    <t xml:space="preserve">Horas por candidato, tasa de finalizacion y dias hasta el primer finalista. No existe ningun endpoint (pantalla #10 del mockup, #talent/selection/metrics).</t>
  </si>
  <si>
    <t xml:space="preserve">Son las mediciones con las que 08-ALCANCE dice que se sabra si el MVP funciono.</t>
  </si>
  <si>
    <t xml:space="preserve">No</t>
  </si>
  <si>
    <t xml:space="preserve">docs/08-ALCANCE-DEL-MVP.md; no hay controller de metricas</t>
  </si>
  <si>
    <t xml:space="preserve">Rubrica real de la prueba del puesto</t>
  </si>
  <si>
    <t xml:space="preserve">Las 6 versiones de plantilla cargadas llevan los 4 criterios marcados PERSONA del script de demostracion, en vez de los 10 del documento (70 agente / 20 persona / 10 sistema).</t>
  </si>
  <si>
    <t xml:space="preserve">El agente PRUEBA_PUESTO arranca, no encuentra criterios suyos y nunca llama al modelo. Es arreglo de datos, no de codigo.</t>
  </si>
  <si>
    <t xml:space="preserve">docs/RUBRICA-DE-LA-PRUEBA.md; log: «no pudo puntuar ningun criterio»</t>
  </si>
  <si>
    <t xml:space="preserve">Cerrar el motor de puntuacion v3</t>
  </si>
  <si>
    <t xml:space="preserve">Faltan: items V, validacion de campos CD, umbrales de nivel I/II/III, los 5 filtros eliminatorios y la regla v3 de pares de consistencia (esta ultima necesita esquema nuevo).</t>
  </si>
  <si>
    <t xml:space="preserve">El banco esta cargado y todavia no puntua como manda el documento del cliente.</t>
  </si>
  <si>
    <t xml:space="preserve">Apretado</t>
  </si>
  <si>
    <t xml:space="preserve">AVANCE-BANCO-V3; sin clases UmbralNivel / FiltroEliminatorio / MultiplicadorBloque</t>
  </si>
  <si>
    <t xml:space="preserve">Seguridad: T1-T3</t>
  </si>
  <si>
    <t xml:space="preserve">Cerrar la tercera cadena que termina en .anyRequest().permitAll(), apagar dev-login en produccion y sacar Swagger del perfil de produccion.</t>
  </si>
  <si>
    <t xml:space="preserve">Datos de candidatos alcanzables desde internet, y dev-login emitiendo tokens de ADMINISTRADOR. Verificado contra el despliegue.</t>
  </si>
  <si>
    <t xml:space="preserve">SUBSANACION-SPRINT-1.md T1-T3; ConfiguracionSeguridad.java:71-78</t>
  </si>
  <si>
    <t xml:space="preserve">Reglas que el servidor promete y no cumple: T4-T6</t>
  </si>
  <si>
    <t xml:space="preserve">La decision usa el semaforo que manda el cliente en vez del que calcula el servidor; las transiciones manuales no validan que el salto sea legal; el contratado no recibe correo.</t>
  </si>
  <si>
    <t xml:space="preserve">Un {"semaforo":"VERDE"} contrata aunque falten etapas o haya una barrera critica confirmada.</t>
  </si>
  <si>
    <t xml:space="preserve">SUBSANACION-SPRINT-1.md T4-T6; ServicioDecisionImpl.java:141-162</t>
  </si>
  <si>
    <t xml:space="preserve">Costo de IA: registrarlo y ponerle tope (T15)</t>
  </si>
  <si>
    <t xml:space="preserve">La columna EjecucionIa.costo existe y nadie la escribe: cero llamadas a setCosto. Sin tabla de precios, sin tope, sin alerta.</t>
  </si>
  <si>
    <t xml:space="preserve">Cada consulta a DeepSeek y a Google se paga, y hoy nadie sabe lo que cuesta una corrida.</t>
  </si>
  <si>
    <t xml:space="preserve">SUBSANACION-SPRINT-1.md T15; ai/model/EjecucionIa.java:34</t>
  </si>
  <si>
    <t xml:space="preserve">Que un 404 sea un 404 y el health responda (T23)</t>
  </si>
  <si>
    <t xml:space="preserve">/actuator/health devuelve 500, igual que cualquier ruta desconocida.</t>
  </si>
  <si>
    <t xml:space="preserve">Hace parecer caido un backend que esta vivo: la diferencia entre diagnosticar en un minuto o en una tarde.</t>
  </si>
  <si>
    <t xml:space="preserve">SUBSANACION-SPRINT-1.md T23; comun/exception/ManejadorErrores.java</t>
  </si>
  <si>
    <t xml:space="preserve">Deuda del jsonb y evidencia por criterio (T16)</t>
  </si>
  <si>
    <t xml:space="preserve">Pasar respuesta.detalle (jsonb) a la tabla respuesta_detalle y adaptar el endpoint del portal. Y sacar la evidencia de NotaCriterio.explicacion a su propia columna.</t>
  </si>
  <si>
    <t xml:space="preserve">Cuanto mas tarde, mas respuestas hay que migrar. Hoy la integridad la sostiene solo ValidadorDetalleV3.</t>
  </si>
  <si>
    <t xml:space="preserve">V21__respuesta_con_detalle.sql; SUBSANACION-SPRINT-1.md T16</t>
  </si>
  <si>
    <t xml:space="preserve">PORTAL</t>
  </si>
  <si>
    <t xml:space="preserve">Repaso visual de los 190 items del banco</t>
  </si>
  <si>
    <t xml:space="preserve">Comprobar en pantalla los textos que reparo la V28: 24 etiquetas de campo_caso, 29 enunciados y 31 preambulos de CD.</t>
  </si>
  <si>
    <t xml:space="preserve">comparar-banco-v3-con-base.py valida PDF vs base; nadie valida base vs API vs pantalla. Los 8 formatos si estan probados (49 pruebas verdes).</t>
  </si>
  <si>
    <t xml:space="preserve">V28__etiquetas_y_enunciados_cortados_del_banco_v3.sql</t>
  </si>
  <si>
    <t xml:space="preserve">Movil de verdad</t>
  </si>
  <si>
    <t xml:space="preserve">Solo 4 media queries en todo base.css y cero pruebas de viewport. El diseno movil de EX esta hecho y «guardado para mas adelante». Copiar el proyecto «estrecho» del panel (390 y 768 px, sin scroll horizontal, area tactil &gt;= 44 px).</t>
  </si>
  <si>
    <t xml:space="preserve">RNF-53 exige que la postulacion y las preguntas se puedan responder desde el telefono.</t>
  </si>
  <si>
    <t xml:space="preserve">RenaserOsPostulantes/src/estilos/base.css; CLAUDE.md del portal</t>
  </si>
  <si>
    <t xml:space="preserve">Rediseno pendiente y dos pantallas que faltan</t>
  </si>
  <si>
    <t xml:space="preserve">El lienzo de EX tiene 20 pantallas de escritorio y el portal tiene 14. Falta la decision ambar con formulario (el estado existe, la ruta no) y la validacion practica (existe en backend, no en el portal).</t>
  </si>
  <si>
    <t xml:space="preserve">Dos etapas del embudo sin pantalla en el portal del candidato.</t>
  </si>
  <si>
    <t xml:space="preserve">src/rutas.ts (14 rutas); CLAUDE.md del portal, seccion Pendiente</t>
  </si>
  <si>
    <t xml:space="preserve">Higiene de produccion</t>
  </si>
  <si>
    <t xml:space="preserve">La cuenta prueba.portal.qa.20260819@example.com esta viva como candidata activa entre candidatos reales; Vercel escribe en la base real; el backend depende de nip.io con la IP escrita a mano en vercel.json.</t>
  </si>
  <si>
    <t xml:space="preserve">Datos de gente de verdad mezclados con pruebas, y una direccion prestada de la que depende el portal.</t>
  </si>
  <si>
    <t xml:space="preserve">CLAUDE.md del portal, seccion Pendiente</t>
  </si>
  <si>
    <t xml:space="preserve">AMBOS</t>
  </si>
  <si>
    <t xml:space="preserve">Que las pruebas sean una puerta</t>
  </si>
  <si>
    <t xml:space="preserve">JaCoCo corre sin check (informa, no rompe la construccion); los 12 casos CP-01..CP-12 no estan nombrados en ningun test; el portal tiene 49 pruebas de componente pero ningun recorrido extremo a extremo.</t>
  </si>
  <si>
    <t xml:space="preserve">451 pruebas del motor y 49 del portal en verde, pero ninguna bloquea un cambio malo. Hoy no se puede decir que caso pasa sin leer el codigo.</t>
  </si>
  <si>
    <t xml:space="preserve">pom.xml:288-308; SUBSANACION-SPRINT-1.md T17 y T21</t>
  </si>
  <si>
    <t xml:space="preserve">Resumen</t>
  </si>
  <si>
    <t xml:space="preserve">Por repositorio</t>
  </si>
  <si>
    <t xml:space="preserve">Valor</t>
  </si>
  <si>
    <t xml:space="preserve">Tareas</t>
  </si>
  <si>
    <t xml:space="preserve">Total</t>
  </si>
  <si>
    <t xml:space="preserve">Cabe antes del 30 de agosto</t>
  </si>
  <si>
    <t xml:space="preserve">Pruebas medidas el 21/08/2026</t>
  </si>
  <si>
    <t xml:space="preserve">Motor - unitarias y de arquitectura</t>
  </si>
  <si>
    <t xml:space="preserve">Motor - integracion (Testcontainers)</t>
  </si>
  <si>
    <t xml:space="preserve">Portal - componente (vitest)</t>
  </si>
  <si>
    <t xml:space="preserve">Total en verde, 0 fallos</t>
  </si>
  <si>
    <t xml:space="preserve">Como se rellena</t>
  </si>
  <si>
    <t xml:space="preserve">Solo se escriben las dos columnas en amarillo de la hoja «Backlog MVP»: Responsable y Estado.</t>
  </si>
  <si>
    <t xml:space="preserve">Ejemplo de fila rellenada:  Responsable = «Luis Rodrigo»   ·   Estado = «En curso».</t>
  </si>
  <si>
    <t xml:space="preserve">Estado admite: Pendiente / En curso / Hecho / Descartado (lista desplegable).</t>
  </si>
  <si>
    <t xml:space="preserve">«Cabe antes del 30» es una estimacion, no un compromiso: Si / Apretado / No. Tambien es desplegable.</t>
  </si>
  <si>
    <t xml:space="preserve">Los conteos de arriba se recalculan solos al cambiar la hoja de backlog.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</si>
</sst>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34"/>
    <col collapsed="false" customWidth="true" hidden="false" outlineLevel="0" max="4" min="4" style="0" width="62"/>
    <col collapsed="false" customWidth="true" hidden="false" outlineLevel="0" max="5" min="5" style="0" width="50"/>
    <col collapsed="false" customWidth="true" hidden="false" outlineLevel="0" max="6" min="6" style="0" width="17"/>
    <col collapsed="false" customWidth="true" hidden="false" outlineLevel="0" max="7" min="7" style="0" width="45"/>
    <col collapsed="false" customWidth="true" hidden="false" outlineLevel="0" max="8" min="8" style="0" width="16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61.5" hidden="false" customHeight="true" outlineLevel="0" collapsed="false">
      <c r="A5" s="4" t="n">
        <v>1</v>
      </c>
      <c r="B5" s="4" t="s">
        <v>11</v>
      </c>
      <c r="C5" s="5" t="s">
        <v>12</v>
      </c>
      <c r="D5" s="5" t="s">
        <v>13</v>
      </c>
      <c r="E5" s="5" t="s">
        <v>14</v>
      </c>
      <c r="F5" s="4" t="s">
        <v>15</v>
      </c>
      <c r="G5" s="5" t="s">
        <v>16</v>
      </c>
      <c r="H5" s="6"/>
      <c r="I5" s="6"/>
    </row>
    <row r="6" customFormat="false" ht="61.5" hidden="false" customHeight="true" outlineLevel="0" collapsed="false">
      <c r="A6" s="7" t="n">
        <v>2</v>
      </c>
      <c r="B6" s="7" t="s">
        <v>11</v>
      </c>
      <c r="C6" s="8" t="s">
        <v>17</v>
      </c>
      <c r="D6" s="8" t="s">
        <v>18</v>
      </c>
      <c r="E6" s="8" t="s">
        <v>19</v>
      </c>
      <c r="F6" s="7" t="s">
        <v>20</v>
      </c>
      <c r="G6" s="8" t="s">
        <v>21</v>
      </c>
      <c r="H6" s="6"/>
      <c r="I6" s="6"/>
    </row>
    <row r="7" customFormat="false" ht="61.5" hidden="false" customHeight="true" outlineLevel="0" collapsed="false">
      <c r="A7" s="4" t="n">
        <v>3</v>
      </c>
      <c r="B7" s="4" t="s">
        <v>11</v>
      </c>
      <c r="C7" s="5" t="s">
        <v>22</v>
      </c>
      <c r="D7" s="5" t="s">
        <v>23</v>
      </c>
      <c r="E7" s="5" t="s">
        <v>24</v>
      </c>
      <c r="F7" s="4" t="s">
        <v>15</v>
      </c>
      <c r="G7" s="5" t="s">
        <v>25</v>
      </c>
      <c r="H7" s="6"/>
      <c r="I7" s="6"/>
    </row>
    <row r="8" customFormat="false" ht="61.5" hidden="false" customHeight="true" outlineLevel="0" collapsed="false">
      <c r="A8" s="7" t="n">
        <v>4</v>
      </c>
      <c r="B8" s="7" t="s">
        <v>11</v>
      </c>
      <c r="C8" s="8" t="s">
        <v>26</v>
      </c>
      <c r="D8" s="8" t="s">
        <v>27</v>
      </c>
      <c r="E8" s="8" t="s">
        <v>28</v>
      </c>
      <c r="F8" s="7" t="s">
        <v>29</v>
      </c>
      <c r="G8" s="8" t="s">
        <v>30</v>
      </c>
      <c r="H8" s="6"/>
      <c r="I8" s="6"/>
    </row>
    <row r="9" customFormat="false" ht="61.5" hidden="false" customHeight="true" outlineLevel="0" collapsed="false">
      <c r="A9" s="4" t="n">
        <v>5</v>
      </c>
      <c r="B9" s="4" t="s">
        <v>11</v>
      </c>
      <c r="C9" s="5" t="s">
        <v>31</v>
      </c>
      <c r="D9" s="5" t="s">
        <v>32</v>
      </c>
      <c r="E9" s="5" t="s">
        <v>33</v>
      </c>
      <c r="F9" s="4" t="s">
        <v>15</v>
      </c>
      <c r="G9" s="5" t="s">
        <v>34</v>
      </c>
      <c r="H9" s="6"/>
      <c r="I9" s="6"/>
    </row>
    <row r="10" customFormat="false" ht="61.5" hidden="false" customHeight="true" outlineLevel="0" collapsed="false">
      <c r="A10" s="7" t="n">
        <v>6</v>
      </c>
      <c r="B10" s="7" t="s">
        <v>11</v>
      </c>
      <c r="C10" s="8" t="s">
        <v>35</v>
      </c>
      <c r="D10" s="8" t="s">
        <v>36</v>
      </c>
      <c r="E10" s="8" t="s">
        <v>37</v>
      </c>
      <c r="F10" s="7" t="s">
        <v>29</v>
      </c>
      <c r="G10" s="8" t="s">
        <v>38</v>
      </c>
      <c r="H10" s="6"/>
      <c r="I10" s="6"/>
    </row>
    <row r="11" customFormat="false" ht="61.5" hidden="false" customHeight="true" outlineLevel="0" collapsed="false">
      <c r="A11" s="4" t="n">
        <v>7</v>
      </c>
      <c r="B11" s="4" t="s">
        <v>11</v>
      </c>
      <c r="C11" s="5" t="s">
        <v>39</v>
      </c>
      <c r="D11" s="5" t="s">
        <v>40</v>
      </c>
      <c r="E11" s="5" t="s">
        <v>41</v>
      </c>
      <c r="F11" s="4" t="s">
        <v>20</v>
      </c>
      <c r="G11" s="5" t="s">
        <v>42</v>
      </c>
      <c r="H11" s="6"/>
      <c r="I11" s="6"/>
    </row>
    <row r="12" customFormat="false" ht="61.5" hidden="false" customHeight="true" outlineLevel="0" collapsed="false">
      <c r="A12" s="7" t="n">
        <v>8</v>
      </c>
      <c r="B12" s="7" t="s">
        <v>11</v>
      </c>
      <c r="C12" s="8" t="s">
        <v>43</v>
      </c>
      <c r="D12" s="8" t="s">
        <v>44</v>
      </c>
      <c r="E12" s="8" t="s">
        <v>45</v>
      </c>
      <c r="F12" s="7" t="s">
        <v>15</v>
      </c>
      <c r="G12" s="8" t="s">
        <v>46</v>
      </c>
      <c r="H12" s="6"/>
      <c r="I12" s="6"/>
    </row>
    <row r="13" customFormat="false" ht="61.5" hidden="false" customHeight="true" outlineLevel="0" collapsed="false">
      <c r="A13" s="4" t="n">
        <v>9</v>
      </c>
      <c r="B13" s="4" t="s">
        <v>11</v>
      </c>
      <c r="C13" s="5" t="s">
        <v>47</v>
      </c>
      <c r="D13" s="5" t="s">
        <v>48</v>
      </c>
      <c r="E13" s="5" t="s">
        <v>49</v>
      </c>
      <c r="F13" s="4" t="s">
        <v>20</v>
      </c>
      <c r="G13" s="5" t="s">
        <v>50</v>
      </c>
      <c r="H13" s="6"/>
      <c r="I13" s="6"/>
    </row>
    <row r="14" customFormat="false" ht="61.5" hidden="false" customHeight="true" outlineLevel="0" collapsed="false">
      <c r="A14" s="7" t="n">
        <v>10</v>
      </c>
      <c r="B14" s="7" t="s">
        <v>51</v>
      </c>
      <c r="C14" s="8" t="s">
        <v>52</v>
      </c>
      <c r="D14" s="8" t="s">
        <v>53</v>
      </c>
      <c r="E14" s="8" t="s">
        <v>54</v>
      </c>
      <c r="F14" s="7" t="s">
        <v>15</v>
      </c>
      <c r="G14" s="8" t="s">
        <v>55</v>
      </c>
      <c r="H14" s="6"/>
      <c r="I14" s="6"/>
    </row>
    <row r="15" customFormat="false" ht="61.5" hidden="false" customHeight="true" outlineLevel="0" collapsed="false">
      <c r="A15" s="4" t="n">
        <v>11</v>
      </c>
      <c r="B15" s="4" t="s">
        <v>51</v>
      </c>
      <c r="C15" s="5" t="s">
        <v>56</v>
      </c>
      <c r="D15" s="5" t="s">
        <v>57</v>
      </c>
      <c r="E15" s="5" t="s">
        <v>58</v>
      </c>
      <c r="F15" s="4" t="s">
        <v>29</v>
      </c>
      <c r="G15" s="5" t="s">
        <v>59</v>
      </c>
      <c r="H15" s="6"/>
      <c r="I15" s="6"/>
    </row>
    <row r="16" customFormat="false" ht="61.5" hidden="false" customHeight="true" outlineLevel="0" collapsed="false">
      <c r="A16" s="7" t="n">
        <v>12</v>
      </c>
      <c r="B16" s="7" t="s">
        <v>51</v>
      </c>
      <c r="C16" s="8" t="s">
        <v>60</v>
      </c>
      <c r="D16" s="8" t="s">
        <v>61</v>
      </c>
      <c r="E16" s="8" t="s">
        <v>62</v>
      </c>
      <c r="F16" s="7" t="s">
        <v>20</v>
      </c>
      <c r="G16" s="8" t="s">
        <v>63</v>
      </c>
      <c r="H16" s="6"/>
      <c r="I16" s="6"/>
    </row>
    <row r="17" customFormat="false" ht="61.5" hidden="false" customHeight="true" outlineLevel="0" collapsed="false">
      <c r="A17" s="4" t="n">
        <v>13</v>
      </c>
      <c r="B17" s="4" t="s">
        <v>51</v>
      </c>
      <c r="C17" s="5" t="s">
        <v>64</v>
      </c>
      <c r="D17" s="5" t="s">
        <v>65</v>
      </c>
      <c r="E17" s="5" t="s">
        <v>66</v>
      </c>
      <c r="F17" s="4" t="s">
        <v>20</v>
      </c>
      <c r="G17" s="5" t="s">
        <v>67</v>
      </c>
      <c r="H17" s="6"/>
      <c r="I17" s="6"/>
    </row>
    <row r="18" customFormat="false" ht="61.5" hidden="false" customHeight="true" outlineLevel="0" collapsed="false">
      <c r="A18" s="7" t="n">
        <v>14</v>
      </c>
      <c r="B18" s="7" t="s">
        <v>68</v>
      </c>
      <c r="C18" s="8" t="s">
        <v>69</v>
      </c>
      <c r="D18" s="8" t="s">
        <v>70</v>
      </c>
      <c r="E18" s="8" t="s">
        <v>71</v>
      </c>
      <c r="F18" s="7" t="s">
        <v>20</v>
      </c>
      <c r="G18" s="8" t="s">
        <v>72</v>
      </c>
      <c r="H18" s="6"/>
      <c r="I18" s="6"/>
    </row>
  </sheetData>
  <autoFilter ref="A4:I18"/>
  <dataValidations count="2">
    <dataValidation allowBlank="true" errorStyle="stop" operator="between" showDropDown="false" showErrorMessage="false" showInputMessage="false" sqref="F5:F18" type="list">
      <formula1>"Si,Apretado,No"</formula1>
      <formula2>0</formula2>
    </dataValidation>
    <dataValidation allowBlank="true" errorStyle="stop" operator="between" showDropDown="false" showErrorMessage="false" showInputMessage="false" sqref="I5:I18" type="list">
      <formula1>"Pendiente,En curso,Hecho,Descartado"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507812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2" min="2" style="0" width="12"/>
  </cols>
  <sheetData>
    <row r="1" customFormat="false" ht="15" hidden="false" customHeight="false" outlineLevel="0" collapsed="false">
      <c r="A1" s="1" t="s">
        <v>73</v>
      </c>
    </row>
    <row r="3" customFormat="false" ht="15" hidden="false" customHeight="false" outlineLevel="0" collapsed="false">
      <c r="A3" s="9" t="s">
        <v>74</v>
      </c>
    </row>
    <row r="4" customFormat="false" ht="15" hidden="false" customHeight="false" outlineLevel="0" collapsed="false">
      <c r="A4" s="10" t="s">
        <v>75</v>
      </c>
      <c r="B4" s="10" t="s">
        <v>76</v>
      </c>
    </row>
    <row r="5" customFormat="false" ht="15" hidden="false" customHeight="false" outlineLevel="0" collapsed="false">
      <c r="A5" s="11" t="s">
        <v>11</v>
      </c>
      <c r="B5" s="11" t="n">
        <f aca="false">COUNTIF('Backlog MVP'!$B$5:$B$18,$A5)</f>
        <v>9</v>
      </c>
    </row>
    <row r="6" customFormat="false" ht="15" hidden="false" customHeight="false" outlineLevel="0" collapsed="false">
      <c r="A6" s="11" t="s">
        <v>51</v>
      </c>
      <c r="B6" s="11" t="n">
        <f aca="false">COUNTIF('Backlog MVP'!$B$5:$B$18,$A6)</f>
        <v>4</v>
      </c>
    </row>
    <row r="7" customFormat="false" ht="15" hidden="false" customHeight="false" outlineLevel="0" collapsed="false">
      <c r="A7" s="11" t="s">
        <v>68</v>
      </c>
      <c r="B7" s="11" t="n">
        <f aca="false">COUNTIF('Backlog MVP'!$B$5:$B$18,$A7)</f>
        <v>1</v>
      </c>
    </row>
    <row r="8" customFormat="false" ht="15" hidden="false" customHeight="false" outlineLevel="0" collapsed="false">
      <c r="A8" s="12" t="s">
        <v>77</v>
      </c>
      <c r="B8" s="12" t="n">
        <f aca="false">SUM(B5:B7)</f>
        <v>14</v>
      </c>
    </row>
    <row r="9" customFormat="false" ht="15" hidden="false" customHeight="false" outlineLevel="0" collapsed="false">
      <c r="A9" s="9" t="s">
        <v>78</v>
      </c>
    </row>
    <row r="10" customFormat="false" ht="15" hidden="false" customHeight="false" outlineLevel="0" collapsed="false">
      <c r="A10" s="10" t="s">
        <v>75</v>
      </c>
      <c r="B10" s="10" t="s">
        <v>76</v>
      </c>
    </row>
    <row r="11" customFormat="false" ht="15" hidden="false" customHeight="false" outlineLevel="0" collapsed="false">
      <c r="A11" s="11" t="s">
        <v>15</v>
      </c>
      <c r="B11" s="11" t="n">
        <f aca="false">COUNTIF('Backlog MVP'!$F$5:$F$18,$A11)</f>
        <v>5</v>
      </c>
    </row>
    <row r="12" customFormat="false" ht="15" hidden="false" customHeight="false" outlineLevel="0" collapsed="false">
      <c r="A12" s="11" t="s">
        <v>29</v>
      </c>
      <c r="B12" s="11" t="n">
        <f aca="false">COUNTIF('Backlog MVP'!$F$5:$F$18,$A12)</f>
        <v>3</v>
      </c>
    </row>
    <row r="13" customFormat="false" ht="15" hidden="false" customHeight="false" outlineLevel="0" collapsed="false">
      <c r="A13" s="11" t="s">
        <v>20</v>
      </c>
      <c r="B13" s="11" t="n">
        <f aca="false">COUNTIF('Backlog MVP'!$F$5:$F$18,$A13)</f>
        <v>6</v>
      </c>
    </row>
    <row r="14" customFormat="false" ht="15" hidden="false" customHeight="false" outlineLevel="0" collapsed="false">
      <c r="A14" s="12" t="s">
        <v>77</v>
      </c>
      <c r="B14" s="12" t="n">
        <f aca="false">SUM(B11:B13)</f>
        <v>14</v>
      </c>
    </row>
    <row r="16" customFormat="false" ht="15" hidden="false" customHeight="false" outlineLevel="0" collapsed="false">
      <c r="A16" s="9" t="s">
        <v>79</v>
      </c>
    </row>
    <row r="17" customFormat="false" ht="15" hidden="false" customHeight="false" outlineLevel="0" collapsed="false">
      <c r="A17" s="11" t="s">
        <v>80</v>
      </c>
      <c r="B17" s="11" t="n">
        <v>400</v>
      </c>
    </row>
    <row r="18" customFormat="false" ht="15" hidden="false" customHeight="false" outlineLevel="0" collapsed="false">
      <c r="A18" s="11" t="s">
        <v>81</v>
      </c>
      <c r="B18" s="11" t="n">
        <v>51</v>
      </c>
    </row>
    <row r="19" customFormat="false" ht="15" hidden="false" customHeight="false" outlineLevel="0" collapsed="false">
      <c r="A19" s="11" t="s">
        <v>82</v>
      </c>
      <c r="B19" s="11" t="n">
        <v>49</v>
      </c>
    </row>
    <row r="20" customFormat="false" ht="15" hidden="false" customHeight="false" outlineLevel="0" collapsed="false">
      <c r="A20" s="12" t="s">
        <v>83</v>
      </c>
      <c r="B20" s="12" t="n">
        <f aca="false">SUM(B17:B19)</f>
        <v>500</v>
      </c>
    </row>
    <row r="22" customFormat="false" ht="15" hidden="false" customHeight="false" outlineLevel="0" collapsed="false">
      <c r="A22" s="9" t="s">
        <v>84</v>
      </c>
    </row>
    <row r="23" customFormat="false" ht="15" hidden="false" customHeight="false" outlineLevel="0" collapsed="false">
      <c r="A23" s="13" t="s">
        <v>85</v>
      </c>
    </row>
    <row r="24" customFormat="false" ht="15" hidden="false" customHeight="false" outlineLevel="0" collapsed="false">
      <c r="A24" s="13" t="s">
        <v>86</v>
      </c>
    </row>
    <row r="25" customFormat="false" ht="15" hidden="false" customHeight="false" outlineLevel="0" collapsed="false">
      <c r="A25" s="13" t="s">
        <v>87</v>
      </c>
    </row>
    <row r="26" customFormat="false" ht="15" hidden="false" customHeight="false" outlineLevel="0" collapsed="false">
      <c r="A26" s="13" t="s">
        <v>88</v>
      </c>
    </row>
    <row r="27" customFormat="false" ht="15" hidden="false" customHeight="false" outlineLevel="0" collapsed="false">
      <c r="A27" s="13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2026-08-21T22:37:58Z</dcterms:created>
  <dc:creator>openpyxl</dc:creator>
  <dc:description/>
  <dc:language>es-PE</dc:language>
  <cp:lastModifiedBy/>
  <dcterms:modified xsi:type="dcterms:W3CDTF">2026-08-21T22:37:58Z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